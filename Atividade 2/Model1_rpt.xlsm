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ndr\Downloads\Arena\Atividade 2\"/>
    </mc:Choice>
  </mc:AlternateContent>
  <xr:revisionPtr revIDLastSave="0" documentId="13_ncr:1_{CDF0E079-1CCB-4D2E-A95C-749186714618}" xr6:coauthVersionLast="47" xr6:coauthVersionMax="47" xr10:uidLastSave="{00000000-0000-0000-0000-000000000000}"/>
  <bookViews>
    <workbookView xWindow="-108" yWindow="-108" windowWidth="23256" windowHeight="124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ContinuousTimeStatsByRep!$A$1:$L$10</definedName>
    <definedName name="ExternalData_1" localSheetId="4" hidden="1">CounterStatsByRep!$A$1:$G$2</definedName>
    <definedName name="ExternalData_1" localSheetId="2" hidden="1">DiscreteTimeStatsByRep!$A$1:$K$9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4" i="20" s="1" a="1"/>
  <c r="K4" i="20" s="1"/>
  <c r="I4" i="20"/>
  <c r="I5" i="20"/>
  <c r="I6" i="20"/>
  <c r="K6" i="20" s="1" a="1"/>
  <c r="K6" i="20" s="1"/>
  <c r="I7" i="20"/>
  <c r="L3" i="20" s="1" a="1"/>
  <c r="L3" i="20" s="1"/>
  <c r="I8" i="20"/>
  <c r="K8" i="20" s="1" a="1"/>
  <c r="K8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P7" i="20" a="1"/>
  <c r="P7" i="20" s="1"/>
  <c r="P8" i="20" a="1"/>
  <c r="P8" i="20" s="1"/>
  <c r="M2" i="18"/>
  <c r="M3" i="18"/>
  <c r="M4" i="18"/>
  <c r="P8" i="18" s="1" a="1"/>
  <c r="P8" i="18" s="1"/>
  <c r="M5" i="18"/>
  <c r="S5" i="18" s="1" a="1"/>
  <c r="S5" i="18" s="1"/>
  <c r="M6" i="18"/>
  <c r="O5" i="18" s="1" a="1"/>
  <c r="O5" i="18" s="1"/>
  <c r="M7" i="18"/>
  <c r="M8" i="18"/>
  <c r="M9" i="18"/>
  <c r="P9" i="18" s="1" a="1"/>
  <c r="P9" i="18" s="1"/>
  <c r="M10" i="18"/>
  <c r="N2" i="18" a="1"/>
  <c r="N2" i="18" s="1"/>
  <c r="U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U7" i="18" s="1"/>
  <c r="N8" i="18" a="1"/>
  <c r="N8" i="18" s="1"/>
  <c r="N9" i="18" a="1"/>
  <c r="N9" i="18" s="1"/>
  <c r="N10" i="18" a="1"/>
  <c r="N10" i="18" s="1"/>
  <c r="O10" i="18" a="1"/>
  <c r="O10" i="18" s="1"/>
  <c r="P3" i="18" a="1"/>
  <c r="P3" i="18" s="1"/>
  <c r="P5" i="18" a="1"/>
  <c r="P5" i="18" s="1"/>
  <c r="P6" i="18" a="1"/>
  <c r="P6" i="18" s="1"/>
  <c r="P7" i="18" a="1"/>
  <c r="P7" i="18" s="1"/>
  <c r="P10" i="18" a="1"/>
  <c r="P10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/>
  <c r="Q10" i="18" a="1"/>
  <c r="Q10" i="18" s="1"/>
  <c r="S2" i="18" a="1"/>
  <c r="S2" i="18"/>
  <c r="S3" i="18" a="1"/>
  <c r="S3" i="18" s="1"/>
  <c r="S7" i="18" a="1"/>
  <c r="S7" i="18" s="1"/>
  <c r="S10" i="18" a="1"/>
  <c r="S10" i="18" s="1"/>
  <c r="T2" i="18" a="1"/>
  <c r="T2" i="18" s="1"/>
  <c r="T3" i="18" a="1"/>
  <c r="T3" i="18" s="1"/>
  <c r="T6" i="18" a="1"/>
  <c r="T6" i="18" s="1"/>
  <c r="T8" i="18" a="1"/>
  <c r="T8" i="18" s="1"/>
  <c r="T9" i="18" a="1"/>
  <c r="T9" i="18" s="1"/>
  <c r="T10" i="18" a="1"/>
  <c r="T10" i="18" s="1"/>
  <c r="L2" i="17"/>
  <c r="L3" i="17"/>
  <c r="L4" i="17"/>
  <c r="L5" i="17"/>
  <c r="L6" i="17"/>
  <c r="U9" i="17" s="1" a="1"/>
  <c r="U9" i="17" s="1"/>
  <c r="L7" i="17"/>
  <c r="X6" i="17" s="1" a="1"/>
  <c r="X6" i="17" s="1"/>
  <c r="L8" i="17"/>
  <c r="T8" i="17" s="1" a="1"/>
  <c r="T8" i="17" s="1"/>
  <c r="L9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W8" i="17" s="1"/>
  <c r="M9" i="17" a="1"/>
  <c r="M9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S7" i="17" a="1"/>
  <c r="S7" i="17" s="1"/>
  <c r="S8" i="17" a="1"/>
  <c r="S8" i="17" s="1"/>
  <c r="T9" i="17" a="1"/>
  <c r="T9" i="17" s="1"/>
  <c r="U2" i="17" a="1"/>
  <c r="U2" i="17" s="1"/>
  <c r="U3" i="17" a="1"/>
  <c r="U3" i="17" s="1"/>
  <c r="V8" i="17" a="1"/>
  <c r="V8" i="17" s="1"/>
  <c r="V9" i="17" a="1"/>
  <c r="V9" i="17" s="1"/>
  <c r="X2" i="17" a="1"/>
  <c r="X2" i="17" s="1"/>
  <c r="X8" i="17" a="1"/>
  <c r="X8" i="17" s="1"/>
  <c r="X9" i="17" a="1"/>
  <c r="X9" i="17" s="1"/>
  <c r="G2" i="16"/>
  <c r="K3" i="20" l="1" a="1"/>
  <c r="K3" i="20" s="1"/>
  <c r="P6" i="20" a="1"/>
  <c r="P6" i="20" s="1"/>
  <c r="L8" i="20" a="1"/>
  <c r="L8" i="20" s="1"/>
  <c r="N8" i="20" s="1"/>
  <c r="P5" i="20" a="1"/>
  <c r="P5" i="20" s="1"/>
  <c r="L7" i="20" a="1"/>
  <c r="L7" i="20" s="1"/>
  <c r="N7" i="20" s="1"/>
  <c r="L6" i="20" a="1"/>
  <c r="L6" i="20" s="1"/>
  <c r="N6" i="20" s="1"/>
  <c r="P4" i="20" a="1"/>
  <c r="P4" i="20" s="1"/>
  <c r="L5" i="20" a="1"/>
  <c r="L5" i="20" s="1"/>
  <c r="N5" i="20" s="1"/>
  <c r="L4" i="20" a="1"/>
  <c r="L4" i="20" s="1"/>
  <c r="N4" i="20" s="1"/>
  <c r="O6" i="20" a="1"/>
  <c r="O6" i="20" s="1"/>
  <c r="O5" i="20" a="1"/>
  <c r="O5" i="20" s="1"/>
  <c r="K7" i="20" a="1"/>
  <c r="K7" i="20" s="1"/>
  <c r="O8" i="20" a="1"/>
  <c r="O8" i="20" s="1"/>
  <c r="L2" i="20" a="1"/>
  <c r="L2" i="20" s="1"/>
  <c r="O7" i="20" a="1"/>
  <c r="O7" i="20" s="1"/>
  <c r="P3" i="20" a="1"/>
  <c r="P3" i="20" s="1"/>
  <c r="K5" i="20" a="1"/>
  <c r="K5" i="20" s="1"/>
  <c r="N3" i="20"/>
  <c r="N2" i="20"/>
  <c r="O4" i="20" a="1"/>
  <c r="O4" i="20" s="1"/>
  <c r="O3" i="20" a="1"/>
  <c r="O3" i="20" s="1"/>
  <c r="O2" i="20" a="1"/>
  <c r="O2" i="20" s="1"/>
  <c r="K2" i="20" a="1"/>
  <c r="K2" i="20" s="1"/>
  <c r="P2" i="20" a="1"/>
  <c r="P2" i="20" s="1"/>
  <c r="R3" i="18"/>
  <c r="U3" i="18"/>
  <c r="P4" i="18" a="1"/>
  <c r="P4" i="18" s="1"/>
  <c r="P2" i="18" a="1"/>
  <c r="P2" i="18" s="1"/>
  <c r="R2" i="18" s="1"/>
  <c r="O6" i="18" a="1"/>
  <c r="O6" i="18" s="1"/>
  <c r="T7" i="18" a="1"/>
  <c r="T7" i="18" s="1"/>
  <c r="O4" i="18" a="1"/>
  <c r="O4" i="18" s="1"/>
  <c r="O3" i="18" a="1"/>
  <c r="O3" i="18" s="1"/>
  <c r="O2" i="18" a="1"/>
  <c r="O2" i="18" s="1"/>
  <c r="S4" i="18" a="1"/>
  <c r="S4" i="18" s="1"/>
  <c r="U5" i="18"/>
  <c r="R5" i="18"/>
  <c r="U6" i="18"/>
  <c r="R6" i="18"/>
  <c r="U4" i="18"/>
  <c r="R4" i="18"/>
  <c r="U8" i="18"/>
  <c r="R8" i="18"/>
  <c r="R7" i="18"/>
  <c r="U10" i="18"/>
  <c r="R10" i="18"/>
  <c r="U9" i="18"/>
  <c r="R9" i="18"/>
  <c r="O9" i="18" a="1"/>
  <c r="O9" i="18" s="1"/>
  <c r="S9" i="18" a="1"/>
  <c r="S9" i="18" s="1"/>
  <c r="O8" i="18" a="1"/>
  <c r="O8" i="18" s="1"/>
  <c r="S8" i="18" a="1"/>
  <c r="S8" i="18" s="1"/>
  <c r="O7" i="18" a="1"/>
  <c r="O7" i="18" s="1"/>
  <c r="T5" i="18" a="1"/>
  <c r="T5" i="18" s="1"/>
  <c r="S6" i="18" a="1"/>
  <c r="S6" i="18" s="1"/>
  <c r="T4" i="18" a="1"/>
  <c r="T4" i="18" s="1"/>
  <c r="S9" i="17" a="1"/>
  <c r="S9" i="17" s="1"/>
  <c r="S2" i="17" a="1"/>
  <c r="S2" i="17" s="1"/>
  <c r="R9" i="17" a="1"/>
  <c r="R9" i="17" s="1"/>
  <c r="V2" i="17" a="1"/>
  <c r="V2" i="17" s="1"/>
  <c r="R8" i="17" a="1"/>
  <c r="R8" i="17" s="1"/>
  <c r="R7" i="17" a="1"/>
  <c r="R7" i="17" s="1"/>
  <c r="V3" i="17" a="1"/>
  <c r="V3" i="17" s="1"/>
  <c r="U8" i="17" a="1"/>
  <c r="U8" i="17" s="1"/>
  <c r="V4" i="17" a="1"/>
  <c r="V4" i="17" s="1"/>
  <c r="U7" i="17" a="1"/>
  <c r="U7" i="17" s="1"/>
  <c r="N6" i="17" a="1"/>
  <c r="N6" i="17" s="1"/>
  <c r="X7" i="17" a="1"/>
  <c r="X7" i="17" s="1"/>
  <c r="T5" i="17" a="1"/>
  <c r="T5" i="17" s="1"/>
  <c r="T4" i="17" a="1"/>
  <c r="T4" i="17" s="1"/>
  <c r="R4" i="17" a="1"/>
  <c r="R4" i="17" s="1"/>
  <c r="X5" i="17" a="1"/>
  <c r="X5" i="17" s="1"/>
  <c r="Y5" i="17" s="1"/>
  <c r="T3" i="17" a="1"/>
  <c r="T3" i="17" s="1"/>
  <c r="X3" i="17" a="1"/>
  <c r="X3" i="17" s="1"/>
  <c r="T2" i="17" a="1"/>
  <c r="T2" i="17" s="1"/>
  <c r="O4" i="17" a="1"/>
  <c r="O4" i="17" s="1"/>
  <c r="Y8" i="17"/>
  <c r="U6" i="17" a="1"/>
  <c r="U6" i="17" s="1"/>
  <c r="S6" i="17" a="1"/>
  <c r="S6" i="17" s="1"/>
  <c r="X4" i="17" a="1"/>
  <c r="X4" i="17" s="1"/>
  <c r="U5" i="17" a="1"/>
  <c r="U5" i="17" s="1"/>
  <c r="S5" i="17" a="1"/>
  <c r="S5" i="17" s="1"/>
  <c r="U4" i="17" a="1"/>
  <c r="U4" i="17" s="1"/>
  <c r="S4" i="17" a="1"/>
  <c r="S4" i="17" s="1"/>
  <c r="O9" i="17" a="1"/>
  <c r="O9" i="17" s="1"/>
  <c r="O8" i="17" a="1"/>
  <c r="O8" i="17" s="1"/>
  <c r="O5" i="17" a="1"/>
  <c r="O5" i="17" s="1"/>
  <c r="O7" i="17" a="1"/>
  <c r="O7" i="17" s="1"/>
  <c r="O2" i="17" a="1"/>
  <c r="O2" i="17" s="1"/>
  <c r="T7" i="17" a="1"/>
  <c r="T7" i="17" s="1"/>
  <c r="R6" i="17" a="1"/>
  <c r="R6" i="17" s="1"/>
  <c r="N5" i="17" a="1"/>
  <c r="N5" i="17" s="1"/>
  <c r="V6" i="17" a="1"/>
  <c r="V6" i="17" s="1"/>
  <c r="T6" i="17" a="1"/>
  <c r="T6" i="17" s="1"/>
  <c r="R5" i="17" a="1"/>
  <c r="R5" i="17" s="1"/>
  <c r="N4" i="17" a="1"/>
  <c r="N4" i="17" s="1"/>
  <c r="V7" i="17" a="1"/>
  <c r="V7" i="17" s="1"/>
  <c r="V5" i="17" a="1"/>
  <c r="V5" i="17" s="1"/>
  <c r="W7" i="17"/>
  <c r="Y7" i="17"/>
  <c r="W4" i="17"/>
  <c r="Y4" i="17"/>
  <c r="Q4" i="17" s="1"/>
  <c r="W3" i="17"/>
  <c r="Y3" i="17"/>
  <c r="W2" i="17"/>
  <c r="Y2" i="17"/>
  <c r="Q2" i="17" s="1"/>
  <c r="W6" i="17"/>
  <c r="Y6" i="17"/>
  <c r="W5" i="17"/>
  <c r="W9" i="17"/>
  <c r="Y9" i="17"/>
  <c r="O3" i="17" a="1"/>
  <c r="O3" i="17" s="1"/>
  <c r="N3" i="17" a="1"/>
  <c r="N3" i="17" s="1"/>
  <c r="N2" i="17" a="1"/>
  <c r="N2" i="17" s="1"/>
  <c r="N9" i="17" a="1"/>
  <c r="N9" i="17" s="1"/>
  <c r="N8" i="17" a="1"/>
  <c r="N8" i="17" s="1"/>
  <c r="S3" i="17" a="1"/>
  <c r="S3" i="17" s="1"/>
  <c r="N7" i="17" a="1"/>
  <c r="N7" i="17" s="1"/>
  <c r="R3" i="17" a="1"/>
  <c r="R3" i="17" s="1"/>
  <c r="R2" i="17" a="1"/>
  <c r="R2" i="17" s="1"/>
  <c r="O6" i="17" a="1"/>
  <c r="O6" i="17" s="1"/>
  <c r="Q7" i="17" l="1"/>
  <c r="Q9" i="17"/>
  <c r="Q5" i="17"/>
  <c r="Q8" i="17"/>
  <c r="Q6" i="17"/>
  <c r="Q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sandr\downloads\arena\atividade 2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sandr\downloads\arena\atividade 2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sandr\downloads\arena\atividade 2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sandr\downloads\arena\atividade 2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sandr\downloads\arena\atividade 2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sandr\downloads\arena\atividade 2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<sst xmlns="http://schemas.openxmlformats.org/spreadsheetml/2006/main" count="351" uniqueCount="103">
  <si>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</si>
  <si>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</si>
  <si>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</si>
  <si>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</si>
  <si>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</si>
  <si>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</si>
  <si>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</si>
  <si>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</si>
  <si>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</si>
  <si>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</si>
  <si>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</si>
  <si>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</si>
  <si>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</si>
  <si>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</si>
  <si>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</si>
  <si>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</si>
  <si>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</si>
  <si>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</si>
  <si>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</si>
  <si>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</si>
  <si>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</si>
  <si>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</si>
  <si>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</si>
  <si>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</si>
  <si>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</si>
  <si>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</si>
  <si>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</si>
  <si>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</si>
  <si>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</si>
  <si>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</si>
  <si>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</si>
  <si>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</si>
  <si>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</si>
  <si>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</si>
  <si>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</si>
  <si>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</si>
  <si>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</si>
  <si>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</si>
  <si>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</si>
  <si>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</si>
  <si>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</si>
  <si>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</si>
  <si>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</si>
  <si>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</si>
  <si>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</si>
  <si>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</si>
  <si>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</si>
  <si>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</si>
  <si>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</si>
  <si>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</si>
  <si>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</si>
  <si>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</si>
  <si>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</si>
  <si>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</si>
  <si>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</si>
  <si>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</si>
  <si>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</si>
  <si>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</si>
  <si>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</si>
  <si>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</si>
  <si>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</si>
  <si>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</si>
  <si>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</si>
  <si>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</si>
  <si>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</si>
  <si>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</si>
  <si>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</si>
  <si>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</si>
  <si>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C:\Users\sandr\Downloads\Arena\Atividade 2\Model1.p</t>
  </si>
  <si>
    <t>2025-07-03 21:24:40</t>
  </si>
  <si>
    <t>Corte de Cabelo.Queue</t>
  </si>
  <si>
    <t>Waiting Time</t>
  </si>
  <si>
    <t>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</si>
  <si>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</si>
  <si>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</si>
  <si>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</si>
  <si>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</si>
  <si>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</si>
  <si>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</si>
  <si>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</si>
  <si>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</si>
  <si>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Serviço de Unha.Queue</t>
  </si>
  <si>
    <t>Barbeiro</t>
  </si>
  <si>
    <t>Instantaneous Utilization</t>
  </si>
  <si>
    <t>Resource</t>
  </si>
  <si>
    <t>Number Busy</t>
  </si>
  <si>
    <t>Number Scheduled</t>
  </si>
  <si>
    <t>Number Waiting</t>
  </si>
  <si>
    <t>WIP</t>
  </si>
  <si>
    <t>Profissional_Unha</t>
  </si>
  <si>
    <t>Barbeiro.NumberSeized</t>
  </si>
  <si>
    <t>Total Number Seized</t>
  </si>
  <si>
    <t>Barbeiro.ScheduledUtilization</t>
  </si>
  <si>
    <t>Scheduled Utilization</t>
  </si>
  <si>
    <t>Entity 1.NumberIn</t>
  </si>
  <si>
    <t>Number In</t>
  </si>
  <si>
    <t>Entity 1.NumberOut</t>
  </si>
  <si>
    <t>Number Out</t>
  </si>
  <si>
    <t>Profissional_Unha.NumberSeized</t>
  </si>
  <si>
    <t>Profissional_Unha.ScheduledUtilization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</si>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</sst>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9234791667" createdVersion="7" refreshedVersion="8" minRefreshableVersion="3" recordCount="9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8">
        <s v="Barbeiro"/>
        <s v="Corte de Cabelo.Queue"/>
        <s v="Entity 1"/>
        <s v="Profissional_Unha"/>
        <s v="Serviço de Unha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7.32355482239762E-3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6"/>
    </cacheField>
    <cacheField name="LastRecordedValue" numFmtId="0">
      <sharedItems containsSemiMixedTypes="0" containsString="0" containsNumber="1" containsInteger="1" minValue="0" maxValue="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7.32355482239762E-3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7.32355482239762E-3" maxValue="3"/>
    </cacheField>
    <cacheField name="MaximumAverage" numFmtId="0">
      <sharedItems containsSemiMixedTypes="0" containsString="0" containsNumber="1" minValue="7.32355482239762E-3" maxValue="3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9234803240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92348263886" createdVersion="7" refreshedVersion="8" minRefreshableVersion="3" recordCount="8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Corte de Cabelo.Queue"/>
        <s v="Entity 1"/>
        <s v="Serviço de Unha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4.4908002264169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5.7103867856466"/>
    </cacheField>
    <cacheField name="Maximum" numFmtId="0">
      <sharedItems containsSemiMixedTypes="0" containsString="0" containsNumber="1" minValue="0" maxValue="50.3054145174345"/>
    </cacheField>
    <cacheField name="NumberObservations" numFmtId="0">
      <sharedItems containsSemiMixedTypes="0" containsString="0" containsNumber="1" containsInteger="1" minValue="8" maxValue="4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4.4908002264169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4.490800226416901"/>
    </cacheField>
    <cacheField name="MaximumAverage" numFmtId="0">
      <sharedItems containsSemiMixedTypes="0" containsString="0" containsNumber="1" minValue="0" maxValue="24.490800226416901"/>
    </cacheField>
    <cacheField name="OverallMinimum" numFmtId="0">
      <sharedItems containsSemiMixedTypes="0" containsString="0" containsNumber="1" minValue="0" maxValue="15.7103867856466"/>
    </cacheField>
    <cacheField name="OverallMaximum" numFmtId="0">
      <sharedItems containsSemiMixedTypes="0" containsString="0" containsNumber="1" minValue="0" maxValue="50.3054145174345"/>
    </cacheField>
    <cacheField name="AverageNumberObservations" numFmtId="0">
      <sharedItems containsSemiMixedTypes="0" containsString="0" containsNumber="1" containsInteger="1" minValue="8" maxValue="48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92348379632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Barbeiro.NumberSeized"/>
        <s v="Barbeiro.ScheduledUtilization"/>
        <s v="Entity 1.NumberIn"/>
        <s v="Entity 1.NumberOut"/>
        <s v="Profissional_Unha.NumberSeized"/>
        <s v="Profissional_Unha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28132524928114999" maxValue="4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28132524928114999" maxValue="4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28132524928114999" maxValue="49"/>
    </cacheField>
    <cacheField name="Maximum" numFmtId="0">
      <sharedItems containsSemiMixedTypes="0" containsString="0" containsNumber="1" minValue="0.28132524928114999" maxValue="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dro Junior" refreshedDate="45841.89234861110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07-03 21:24:40"/>
    <n v="1"/>
    <x v="0"/>
    <x v="0"/>
    <x v="0"/>
    <n v="0.65537390787254401"/>
    <n v="2E+20"/>
    <n v="0"/>
    <n v="1"/>
    <n v="1"/>
    <n v="0"/>
    <s v="Unnamed ProjectBarbeiroInstantaneous UtilizationResource"/>
    <n v="1"/>
    <n v="0.65537390787254401"/>
    <n v="0"/>
    <n v="0.95"/>
    <n v="4E+20"/>
    <n v="0.65537390787254401"/>
    <n v="0.65537390787254401"/>
    <n v="2E+20"/>
  </r>
  <r>
    <x v="0"/>
    <s v="2025-07-03 21:24:40"/>
    <n v="1"/>
    <x v="0"/>
    <x v="1"/>
    <x v="0"/>
    <n v="1.96612172361763"/>
    <n v="2E+20"/>
    <n v="0"/>
    <n v="3"/>
    <n v="3"/>
    <n v="0"/>
    <s v="Unnamed ProjectBarbeiroNumber BusyResource"/>
    <n v="1"/>
    <n v="1.96612172361763"/>
    <n v="0"/>
    <n v="0.95"/>
    <n v="4E+20"/>
    <n v="1.96612172361763"/>
    <n v="1.96612172361763"/>
    <n v="2E+20"/>
  </r>
  <r>
    <x v="0"/>
    <s v="2025-07-03 21:24:40"/>
    <n v="1"/>
    <x v="0"/>
    <x v="2"/>
    <x v="0"/>
    <n v="3"/>
    <n v="2E+20"/>
    <n v="3"/>
    <n v="3"/>
    <n v="3"/>
    <n v="0"/>
    <s v="Unnamed ProjectBarbeiroNumber ScheduledResource"/>
    <n v="1"/>
    <n v="3"/>
    <n v="0"/>
    <n v="0.95"/>
    <n v="4E+20"/>
    <n v="3"/>
    <n v="3"/>
    <n v="2E+20"/>
  </r>
  <r>
    <x v="0"/>
    <s v="2025-07-03 21:24:40"/>
    <n v="1"/>
    <x v="1"/>
    <x v="3"/>
    <x v="1"/>
    <n v="0.158298606231497"/>
    <n v="2E+20"/>
    <n v="0"/>
    <n v="2"/>
    <n v="1"/>
    <n v="0"/>
    <s v="Unnamed ProjectCorte de Cabelo.QueueNumber WaitingQueue"/>
    <n v="1"/>
    <n v="0.158298606231497"/>
    <n v="0"/>
    <n v="0.95"/>
    <n v="4E+20"/>
    <n v="0.158298606231497"/>
    <n v="0.158298606231497"/>
    <n v="2E+20"/>
  </r>
  <r>
    <x v="0"/>
    <s v="2025-07-03 21:24:40"/>
    <n v="1"/>
    <x v="2"/>
    <x v="4"/>
    <x v="2"/>
    <n v="2.4297358006193401"/>
    <n v="2E+20"/>
    <n v="0"/>
    <n v="6"/>
    <n v="4"/>
    <n v="0"/>
    <s v="Unnamed ProjectEntity 1WIPEntity"/>
    <n v="1"/>
    <n v="2.4297358006193401"/>
    <n v="0"/>
    <n v="0.95"/>
    <n v="4E+20"/>
    <n v="2.4297358006193401"/>
    <n v="2.4297358006193401"/>
    <n v="2E+20"/>
  </r>
  <r>
    <x v="0"/>
    <s v="2025-07-03 21:24:40"/>
    <n v="1"/>
    <x v="3"/>
    <x v="0"/>
    <x v="0"/>
    <n v="0.28132524928114999"/>
    <n v="2E+20"/>
    <n v="0"/>
    <n v="1"/>
    <n v="0"/>
    <n v="0"/>
    <s v="Unnamed ProjectProfissional_UnhaInstantaneous UtilizationResource"/>
    <n v="1"/>
    <n v="0.28132524928114999"/>
    <n v="0"/>
    <n v="0.95"/>
    <n v="4E+20"/>
    <n v="0.28132524928114999"/>
    <n v="0.28132524928114999"/>
    <n v="2E+20"/>
  </r>
  <r>
    <x v="0"/>
    <s v="2025-07-03 21:24:40"/>
    <n v="1"/>
    <x v="3"/>
    <x v="1"/>
    <x v="0"/>
    <n v="0.28132524928114999"/>
    <n v="2E+20"/>
    <n v="0"/>
    <n v="1"/>
    <n v="0"/>
    <n v="0"/>
    <s v="Unnamed ProjectProfissional_UnhaNumber BusyResource"/>
    <n v="1"/>
    <n v="0.28132524928114999"/>
    <n v="0"/>
    <n v="0.95"/>
    <n v="4E+20"/>
    <n v="0.28132524928114999"/>
    <n v="0.28132524928114999"/>
    <n v="2E+20"/>
  </r>
  <r>
    <x v="0"/>
    <s v="2025-07-03 21:24:40"/>
    <n v="1"/>
    <x v="3"/>
    <x v="2"/>
    <x v="0"/>
    <n v="1"/>
    <n v="2E+20"/>
    <n v="1"/>
    <n v="1"/>
    <n v="1"/>
    <n v="0"/>
    <s v="Unnamed ProjectProfissional_UnhaNumber ScheduledResource"/>
    <n v="1"/>
    <n v="1"/>
    <n v="0"/>
    <n v="0.95"/>
    <n v="4E+20"/>
    <n v="1"/>
    <n v="1"/>
    <n v="2E+20"/>
  </r>
  <r>
    <x v="0"/>
    <s v="2025-07-03 21:24:40"/>
    <n v="1"/>
    <x v="4"/>
    <x v="3"/>
    <x v="1"/>
    <n v="7.32355482239762E-3"/>
    <n v="2E+20"/>
    <n v="0"/>
    <n v="1"/>
    <n v="0"/>
    <n v="0"/>
    <s v="Unnamed ProjectServiço de Unha.QueueNumber WaitingQueue"/>
    <n v="1"/>
    <n v="7.32355482239762E-3"/>
    <n v="0"/>
    <n v="0.95"/>
    <n v="4E+20"/>
    <n v="7.32355482239762E-3"/>
    <n v="7.32355482239762E-3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25-07-03 21:24:40"/>
    <n v="1"/>
    <x v="0"/>
    <x v="0"/>
    <x v="0"/>
    <n v="1.4601679313220901"/>
    <n v="2E+20"/>
    <n v="0"/>
    <n v="12.572207479630199"/>
    <n v="48"/>
    <s v="Unnamed ProjectCorte de Cabelo.QueueWaiting TimeQueue"/>
    <n v="1"/>
    <n v="1.4601679313220901"/>
    <n v="0"/>
    <n v="0.95"/>
    <n v="4E+20"/>
    <n v="1.4601679313220901"/>
    <n v="1.4601679313220901"/>
    <n v="0"/>
    <n v="12.572207479630199"/>
    <n v="48"/>
    <n v="2E+20"/>
    <n v="1"/>
    <n v="1"/>
  </r>
  <r>
    <x v="0"/>
    <s v="2025-07-03 21:24:40"/>
    <n v="1"/>
    <x v="1"/>
    <x v="1"/>
    <x v="1"/>
    <n v="0"/>
    <n v="2E+20"/>
    <n v="0"/>
    <n v="0"/>
    <n v="45"/>
    <s v="Unnamed ProjectEntity 1NVA TimeEntity"/>
    <n v="1"/>
    <n v="0"/>
    <n v="0"/>
    <n v="0.95"/>
    <n v="4E+20"/>
    <n v="0"/>
    <n v="0"/>
    <n v="0"/>
    <n v="0"/>
    <n v="45"/>
    <n v="2E+20"/>
    <n v="1"/>
    <n v="1"/>
  </r>
  <r>
    <x v="0"/>
    <s v="2025-07-03 21:24:40"/>
    <n v="1"/>
    <x v="1"/>
    <x v="2"/>
    <x v="1"/>
    <n v="0"/>
    <n v="2E+20"/>
    <n v="0"/>
    <n v="0"/>
    <n v="45"/>
    <s v="Unnamed ProjectEntity 1Other TimeEntity"/>
    <n v="1"/>
    <n v="0"/>
    <n v="0"/>
    <n v="0.95"/>
    <n v="4E+20"/>
    <n v="0"/>
    <n v="0"/>
    <n v="0"/>
    <n v="0"/>
    <n v="45"/>
    <n v="2E+20"/>
    <n v="1"/>
    <n v="1"/>
  </r>
  <r>
    <x v="0"/>
    <s v="2025-07-03 21:24:40"/>
    <n v="1"/>
    <x v="1"/>
    <x v="3"/>
    <x v="1"/>
    <n v="24.490800226416901"/>
    <n v="2E+20"/>
    <n v="15.7103867856466"/>
    <n v="50.3054145174345"/>
    <n v="45"/>
    <s v="Unnamed ProjectEntity 1Total TimeEntity"/>
    <n v="1"/>
    <n v="24.490800226416901"/>
    <n v="0"/>
    <n v="0.95"/>
    <n v="4E+20"/>
    <n v="24.490800226416901"/>
    <n v="24.490800226416901"/>
    <n v="15.7103867856466"/>
    <n v="50.3054145174345"/>
    <n v="45"/>
    <n v="2E+20"/>
    <n v="1"/>
    <n v="1"/>
  </r>
  <r>
    <x v="0"/>
    <s v="2025-07-03 21:24:40"/>
    <n v="1"/>
    <x v="1"/>
    <x v="4"/>
    <x v="1"/>
    <n v="0"/>
    <n v="2E+20"/>
    <n v="0"/>
    <n v="0"/>
    <n v="45"/>
    <s v="Unnamed ProjectEntity 1Transfer TimeEntity"/>
    <n v="1"/>
    <n v="0"/>
    <n v="0"/>
    <n v="0.95"/>
    <n v="4E+20"/>
    <n v="0"/>
    <n v="0"/>
    <n v="0"/>
    <n v="0"/>
    <n v="45"/>
    <n v="2E+20"/>
    <n v="1"/>
    <n v="1"/>
  </r>
  <r>
    <x v="0"/>
    <s v="2025-07-03 21:24:40"/>
    <n v="1"/>
    <x v="1"/>
    <x v="5"/>
    <x v="1"/>
    <n v="23.065257567142901"/>
    <n v="2E+20"/>
    <n v="15.393459609817899"/>
    <n v="42.402619999562802"/>
    <n v="45"/>
    <s v="Unnamed ProjectEntity 1VA TimeEntity"/>
    <n v="1"/>
    <n v="23.065257567142901"/>
    <n v="0"/>
    <n v="0.95"/>
    <n v="4E+20"/>
    <n v="23.065257567142901"/>
    <n v="23.065257567142901"/>
    <n v="15.393459609817899"/>
    <n v="42.402619999562802"/>
    <n v="45"/>
    <n v="2E+20"/>
    <n v="1"/>
    <n v="1"/>
  </r>
  <r>
    <x v="0"/>
    <s v="2025-07-03 21:24:40"/>
    <n v="1"/>
    <x v="1"/>
    <x v="6"/>
    <x v="1"/>
    <n v="1.4255426592739999"/>
    <n v="2E+20"/>
    <n v="0"/>
    <n v="12.572207479630199"/>
    <n v="45"/>
    <s v="Unnamed ProjectEntity 1Wait TimeEntity"/>
    <n v="1"/>
    <n v="1.4255426592739999"/>
    <n v="0"/>
    <n v="0.95"/>
    <n v="4E+20"/>
    <n v="1.4255426592739999"/>
    <n v="1.4255426592739999"/>
    <n v="0"/>
    <n v="12.572207479630199"/>
    <n v="45"/>
    <n v="2E+20"/>
    <n v="1"/>
    <n v="1"/>
  </r>
  <r>
    <x v="0"/>
    <s v="2025-07-03 21:24:40"/>
    <n v="1"/>
    <x v="2"/>
    <x v="0"/>
    <x v="0"/>
    <n v="0.43941328934385698"/>
    <n v="2E+20"/>
    <n v="0"/>
    <n v="3.5153063147508599"/>
    <n v="8"/>
    <s v="Unnamed ProjectServiço de Unha.QueueWaiting TimeQueue"/>
    <n v="1"/>
    <n v="0.43941328934385698"/>
    <n v="0"/>
    <n v="0.95"/>
    <n v="4E+20"/>
    <n v="0.43941328934385698"/>
    <n v="0.43941328934385698"/>
    <n v="0"/>
    <n v="3.5153063147508599"/>
    <n v="8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07-03 21:24:40"/>
    <n v="1"/>
    <x v="0"/>
    <x v="0"/>
    <x v="0"/>
    <n v="48"/>
    <n v="0"/>
    <s v="Unnamed ProjectBarbeiro.NumberSeizedTotal Number SeizedResource"/>
    <n v="1"/>
    <n v="48"/>
    <n v="0"/>
    <n v="0.95"/>
    <n v="4E+20"/>
    <n v="48"/>
    <n v="48"/>
  </r>
  <r>
    <x v="0"/>
    <s v="2025-07-03 21:24:40"/>
    <n v="1"/>
    <x v="1"/>
    <x v="1"/>
    <x v="0"/>
    <n v="0.65537390787254401"/>
    <n v="0"/>
    <s v="Unnamed ProjectBarbeiro.ScheduledUtilizationScheduled UtilizationResource"/>
    <n v="1"/>
    <n v="0.65537390787254401"/>
    <n v="0"/>
    <n v="0.95"/>
    <n v="4E+20"/>
    <n v="0.65537390787254401"/>
    <n v="0.65537390787254401"/>
  </r>
  <r>
    <x v="0"/>
    <s v="2025-07-03 21:24:40"/>
    <n v="1"/>
    <x v="2"/>
    <x v="2"/>
    <x v="1"/>
    <n v="49"/>
    <n v="0"/>
    <s v="Unnamed ProjectEntity 1.NumberInNumber InEntity"/>
    <n v="1"/>
    <n v="49"/>
    <n v="0"/>
    <n v="0.95"/>
    <n v="4E+20"/>
    <n v="49"/>
    <n v="49"/>
  </r>
  <r>
    <x v="0"/>
    <s v="2025-07-03 21:24:40"/>
    <n v="1"/>
    <x v="3"/>
    <x v="3"/>
    <x v="1"/>
    <n v="45"/>
    <n v="0"/>
    <s v="Unnamed ProjectEntity 1.NumberOutNumber OutEntity"/>
    <n v="1"/>
    <n v="45"/>
    <n v="0"/>
    <n v="0.95"/>
    <n v="4E+20"/>
    <n v="45"/>
    <n v="45"/>
  </r>
  <r>
    <x v="0"/>
    <s v="2025-07-03 21:24:40"/>
    <n v="1"/>
    <x v="4"/>
    <x v="0"/>
    <x v="0"/>
    <n v="8"/>
    <n v="0"/>
    <s v="Unnamed ProjectProfissional_Unha.NumberSeizedTotal Number SeizedResource"/>
    <n v="1"/>
    <n v="8"/>
    <n v="0"/>
    <n v="0.95"/>
    <n v="4E+20"/>
    <n v="8"/>
    <n v="8"/>
  </r>
  <r>
    <x v="0"/>
    <s v="2025-07-03 21:24:40"/>
    <n v="1"/>
    <x v="5"/>
    <x v="1"/>
    <x v="0"/>
    <n v="0.28132524928114999"/>
    <n v="0"/>
    <s v="Unnamed ProjectProfissional_Unha.ScheduledUtilizationScheduled UtilizationResource"/>
    <n v="1"/>
    <n v="0.28132524928114999"/>
    <n v="0"/>
    <n v="0.95"/>
    <n v="4E+20"/>
    <n v="0.28132524928114999"/>
    <n v="0.28132524928114999"/>
  </r>
  <r>
    <x v="0"/>
    <s v="2025-07-03 21:24:40"/>
    <n v="1"/>
    <x v="6"/>
    <x v="3"/>
    <x v="2"/>
    <n v="45"/>
    <n v="0"/>
    <s v="Unnamed ProjectSystem.NumberOutNumber OutSystem"/>
    <n v="1"/>
    <n v="45"/>
    <n v="0"/>
    <n v="0.95"/>
    <n v="4E+20"/>
    <n v="45"/>
    <n v="4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x="2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7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0"/>
        <item x="1"/>
        <item x="3"/>
        <item x="4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3"/>
        <item m="1" x="36"/>
        <item m="1" x="8"/>
        <item m="1" x="88"/>
        <item m="1" x="71"/>
        <item m="1" x="41"/>
        <item m="1" x="97"/>
        <item m="1" x="29"/>
        <item m="1" x="33"/>
        <item x="1"/>
        <item m="1" x="66"/>
        <item m="1" x="78"/>
        <item m="1" x="83"/>
        <item m="1" x="7"/>
        <item m="1" x="35"/>
        <item m="1" x="25"/>
        <item m="1" x="100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2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x="2"/>
        <item x="3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79"/>
        <item m="1" x="21"/>
        <item m="1" x="82"/>
        <item m="1" x="49"/>
        <item m="1" x="16"/>
        <item m="1" x="77"/>
        <item m="1" x="73"/>
        <item m="1" x="50"/>
        <item m="1" x="17"/>
        <item m="1" x="78"/>
        <item m="1" x="74"/>
        <item m="1" x="12"/>
        <item m="1" x="46"/>
        <item m="1" x="30"/>
        <item m="1" x="20"/>
        <item m="1" x="71"/>
        <item m="1" x="42"/>
        <item m="1" x="72"/>
        <item m="1" x="43"/>
        <item m="1" x="29"/>
        <item m="1" x="24"/>
        <item m="1" x="51"/>
        <item m="1" x="26"/>
        <item m="1" x="81"/>
        <item m="1" x="75"/>
        <item m="1" x="25"/>
        <item m="1" x="23"/>
        <item m="1" x="68"/>
        <item m="1" x="76"/>
        <item m="1" x="13"/>
        <item m="1" x="31"/>
        <item m="1" x="44"/>
        <item m="1" x="65"/>
        <item m="1" x="80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4"/>
        <item x="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" tableType="queryTable" totalsRowShown="0">
  <autoFilter ref="A1:Y9" xr:uid="{C3D003CA-1AFF-426C-A03D-D3AF5760DF1A}"/>
  <sortState xmlns:xlrd2="http://schemas.microsoft.com/office/spreadsheetml/2017/richdata2" ref="A2:Y9">
    <sortCondition ref="D1:D9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0" tableType="queryTable" totalsRowShown="0">
  <autoFilter ref="A1:U10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48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</v>
      </c>
      <c r="F2">
        <v>480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1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73</v>
      </c>
      <c r="C3" t="s">
        <v>74</v>
      </c>
      <c r="D3" t="s">
        <v>75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45</v>
      </c>
      <c r="O3" t="s">
        <v>66</v>
      </c>
      <c r="P3" t="s">
        <v>73</v>
      </c>
      <c r="Q3" t="s">
        <v>88</v>
      </c>
      <c r="R3" t="s">
        <v>75</v>
      </c>
      <c r="S3" s="5">
        <v>2.4297358006193401</v>
      </c>
      <c r="T3" s="5">
        <v>2E+20</v>
      </c>
      <c r="U3" s="5">
        <v>0</v>
      </c>
      <c r="V3" s="5">
        <v>2.4297358006193401</v>
      </c>
      <c r="W3" s="5">
        <v>2.4297358006193401</v>
      </c>
      <c r="X3" s="5">
        <v>0</v>
      </c>
      <c r="Y3" s="5">
        <v>6</v>
      </c>
      <c r="AA3" t="s">
        <v>102</v>
      </c>
      <c r="AB3" t="s">
        <v>102</v>
      </c>
      <c r="AC3" t="s">
        <v>102</v>
      </c>
      <c r="AD3" t="s">
        <v>102</v>
      </c>
      <c r="AE3" s="5"/>
      <c r="AF3" s="5"/>
      <c r="AG3" s="5"/>
      <c r="AH3" s="5"/>
      <c r="AI3" s="5"/>
      <c r="AK3" t="s">
        <v>66</v>
      </c>
      <c r="AL3" t="s">
        <v>100</v>
      </c>
      <c r="AM3" t="s">
        <v>97</v>
      </c>
      <c r="AN3" t="s">
        <v>101</v>
      </c>
      <c r="AO3" s="5">
        <v>45</v>
      </c>
      <c r="AP3" s="5">
        <v>4E+20</v>
      </c>
      <c r="AQ3" s="5">
        <v>0</v>
      </c>
      <c r="AR3" s="5">
        <v>45</v>
      </c>
      <c r="AS3" s="5">
        <v>45</v>
      </c>
      <c r="AU3" t="s">
        <v>102</v>
      </c>
      <c r="AV3" t="s">
        <v>102</v>
      </c>
      <c r="AW3" t="s">
        <v>102</v>
      </c>
      <c r="AX3" t="s">
        <v>102</v>
      </c>
      <c r="AY3" s="4"/>
      <c r="AZ3" s="4"/>
    </row>
    <row r="4" spans="1:52" x14ac:dyDescent="0.3">
      <c r="C4" t="s">
        <v>76</v>
      </c>
      <c r="D4" t="s">
        <v>75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45</v>
      </c>
      <c r="P4" t="s">
        <v>82</v>
      </c>
      <c r="Q4" t="s">
        <v>83</v>
      </c>
      <c r="R4" t="s">
        <v>84</v>
      </c>
      <c r="S4" s="5">
        <v>0.65537390787254401</v>
      </c>
      <c r="T4" s="5">
        <v>2E+20</v>
      </c>
      <c r="U4" s="5">
        <v>0</v>
      </c>
      <c r="V4" s="5">
        <v>0.65537390787254401</v>
      </c>
      <c r="W4" s="5">
        <v>0.65537390787254401</v>
      </c>
      <c r="X4" s="5">
        <v>0</v>
      </c>
      <c r="Y4" s="5">
        <v>1</v>
      </c>
      <c r="AL4" t="s">
        <v>94</v>
      </c>
      <c r="AM4" t="s">
        <v>95</v>
      </c>
      <c r="AN4" t="s">
        <v>75</v>
      </c>
      <c r="AO4" s="5">
        <v>49</v>
      </c>
      <c r="AP4" s="5">
        <v>4E+20</v>
      </c>
      <c r="AQ4" s="5">
        <v>0</v>
      </c>
      <c r="AR4" s="5">
        <v>49</v>
      </c>
      <c r="AS4" s="5">
        <v>49</v>
      </c>
    </row>
    <row r="5" spans="1:52" x14ac:dyDescent="0.3">
      <c r="C5" t="s">
        <v>77</v>
      </c>
      <c r="D5" t="s">
        <v>75</v>
      </c>
      <c r="E5" s="5">
        <v>24.490800226416901</v>
      </c>
      <c r="F5" s="5">
        <v>1</v>
      </c>
      <c r="G5" s="5">
        <v>2E+20</v>
      </c>
      <c r="H5" s="5">
        <v>0</v>
      </c>
      <c r="I5" s="5">
        <v>24.490800226416901</v>
      </c>
      <c r="J5" s="5">
        <v>24.490800226416901</v>
      </c>
      <c r="K5" s="5">
        <v>15.7103867856466</v>
      </c>
      <c r="L5" s="5">
        <v>50.3054145174345</v>
      </c>
      <c r="M5" s="5">
        <v>45</v>
      </c>
      <c r="Q5" t="s">
        <v>85</v>
      </c>
      <c r="R5" t="s">
        <v>84</v>
      </c>
      <c r="S5" s="5">
        <v>1.96612172361763</v>
      </c>
      <c r="T5" s="5">
        <v>2E+20</v>
      </c>
      <c r="U5" s="5">
        <v>0</v>
      </c>
      <c r="V5" s="5">
        <v>1.96612172361763</v>
      </c>
      <c r="W5" s="5">
        <v>1.96612172361763</v>
      </c>
      <c r="X5" s="5">
        <v>0</v>
      </c>
      <c r="Y5" s="5">
        <v>3</v>
      </c>
      <c r="AL5" t="s">
        <v>96</v>
      </c>
      <c r="AM5" t="s">
        <v>97</v>
      </c>
      <c r="AN5" t="s">
        <v>75</v>
      </c>
      <c r="AO5" s="5">
        <v>45</v>
      </c>
      <c r="AP5" s="5">
        <v>4E+20</v>
      </c>
      <c r="AQ5" s="5">
        <v>0</v>
      </c>
      <c r="AR5" s="5">
        <v>45</v>
      </c>
      <c r="AS5" s="5">
        <v>45</v>
      </c>
    </row>
    <row r="6" spans="1:52" x14ac:dyDescent="0.3">
      <c r="C6" t="s">
        <v>78</v>
      </c>
      <c r="D6" t="s">
        <v>75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45</v>
      </c>
      <c r="Q6" t="s">
        <v>86</v>
      </c>
      <c r="R6" t="s">
        <v>84</v>
      </c>
      <c r="S6" s="5">
        <v>3</v>
      </c>
      <c r="T6" s="5">
        <v>2E+20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90</v>
      </c>
      <c r="AM6" t="s">
        <v>91</v>
      </c>
      <c r="AN6" t="s">
        <v>84</v>
      </c>
      <c r="AO6" s="5">
        <v>48</v>
      </c>
      <c r="AP6" s="5">
        <v>4E+20</v>
      </c>
      <c r="AQ6" s="5">
        <v>0</v>
      </c>
      <c r="AR6" s="5">
        <v>48</v>
      </c>
      <c r="AS6" s="5">
        <v>48</v>
      </c>
    </row>
    <row r="7" spans="1:52" x14ac:dyDescent="0.3">
      <c r="C7" t="s">
        <v>79</v>
      </c>
      <c r="D7" t="s">
        <v>75</v>
      </c>
      <c r="E7" s="5">
        <v>23.065257567142901</v>
      </c>
      <c r="F7" s="5">
        <v>1</v>
      </c>
      <c r="G7" s="5">
        <v>2E+20</v>
      </c>
      <c r="H7" s="5">
        <v>0</v>
      </c>
      <c r="I7" s="5">
        <v>23.065257567142901</v>
      </c>
      <c r="J7" s="5">
        <v>23.065257567142901</v>
      </c>
      <c r="K7" s="5">
        <v>15.393459609817899</v>
      </c>
      <c r="L7" s="5">
        <v>42.402619999562802</v>
      </c>
      <c r="M7" s="5">
        <v>45</v>
      </c>
      <c r="P7" t="s">
        <v>70</v>
      </c>
      <c r="Q7" t="s">
        <v>87</v>
      </c>
      <c r="R7" t="s">
        <v>72</v>
      </c>
      <c r="S7" s="5">
        <v>0.158298606231497</v>
      </c>
      <c r="T7" s="5">
        <v>2E+20</v>
      </c>
      <c r="U7" s="5">
        <v>0</v>
      </c>
      <c r="V7" s="5">
        <v>0.158298606231497</v>
      </c>
      <c r="W7" s="5">
        <v>0.158298606231497</v>
      </c>
      <c r="X7" s="5">
        <v>0</v>
      </c>
      <c r="Y7" s="5">
        <v>2</v>
      </c>
      <c r="AL7" t="s">
        <v>92</v>
      </c>
      <c r="AM7" t="s">
        <v>93</v>
      </c>
      <c r="AN7" t="s">
        <v>84</v>
      </c>
      <c r="AO7" s="5">
        <v>0.65537390787254401</v>
      </c>
      <c r="AP7" s="5">
        <v>4E+20</v>
      </c>
      <c r="AQ7" s="5">
        <v>0</v>
      </c>
      <c r="AR7" s="5">
        <v>0.65537390787254401</v>
      </c>
      <c r="AS7" s="5">
        <v>0.65537390787254401</v>
      </c>
    </row>
    <row r="8" spans="1:52" x14ac:dyDescent="0.3">
      <c r="C8" t="s">
        <v>80</v>
      </c>
      <c r="D8" t="s">
        <v>75</v>
      </c>
      <c r="E8" s="5">
        <v>1.4255426592739999</v>
      </c>
      <c r="F8" s="5">
        <v>1</v>
      </c>
      <c r="G8" s="5">
        <v>2E+20</v>
      </c>
      <c r="H8" s="5">
        <v>0</v>
      </c>
      <c r="I8" s="5">
        <v>1.4255426592739999</v>
      </c>
      <c r="J8" s="5">
        <v>1.4255426592739999</v>
      </c>
      <c r="K8" s="5">
        <v>0</v>
      </c>
      <c r="L8" s="5">
        <v>12.572207479630199</v>
      </c>
      <c r="M8" s="5">
        <v>45</v>
      </c>
      <c r="P8" t="s">
        <v>89</v>
      </c>
      <c r="Q8" t="s">
        <v>83</v>
      </c>
      <c r="R8" t="s">
        <v>84</v>
      </c>
      <c r="S8" s="5">
        <v>0.28132524928114999</v>
      </c>
      <c r="T8" s="5">
        <v>2E+20</v>
      </c>
      <c r="U8" s="5">
        <v>0</v>
      </c>
      <c r="V8" s="5">
        <v>0.28132524928114999</v>
      </c>
      <c r="W8" s="5">
        <v>0.28132524928114999</v>
      </c>
      <c r="X8" s="5">
        <v>0</v>
      </c>
      <c r="Y8" s="5">
        <v>1</v>
      </c>
      <c r="AL8" t="s">
        <v>98</v>
      </c>
      <c r="AM8" t="s">
        <v>91</v>
      </c>
      <c r="AN8" t="s">
        <v>84</v>
      </c>
      <c r="AO8" s="5">
        <v>8</v>
      </c>
      <c r="AP8" s="5">
        <v>4E+20</v>
      </c>
      <c r="AQ8" s="5">
        <v>0</v>
      </c>
      <c r="AR8" s="5">
        <v>8</v>
      </c>
      <c r="AS8" s="5">
        <v>8</v>
      </c>
    </row>
    <row r="9" spans="1:52" x14ac:dyDescent="0.3">
      <c r="B9" t="s">
        <v>70</v>
      </c>
      <c r="C9" t="s">
        <v>71</v>
      </c>
      <c r="D9" t="s">
        <v>72</v>
      </c>
      <c r="E9" s="5">
        <v>1.4601679313220901</v>
      </c>
      <c r="F9" s="5">
        <v>1</v>
      </c>
      <c r="G9" s="5">
        <v>2E+20</v>
      </c>
      <c r="H9" s="5">
        <v>0</v>
      </c>
      <c r="I9" s="5">
        <v>1.4601679313220901</v>
      </c>
      <c r="J9" s="5">
        <v>1.4601679313220901</v>
      </c>
      <c r="K9" s="5">
        <v>0</v>
      </c>
      <c r="L9" s="5">
        <v>12.572207479630199</v>
      </c>
      <c r="M9" s="5">
        <v>48</v>
      </c>
      <c r="Q9" t="s">
        <v>85</v>
      </c>
      <c r="R9" t="s">
        <v>84</v>
      </c>
      <c r="S9" s="5">
        <v>0.28132524928114999</v>
      </c>
      <c r="T9" s="5">
        <v>2E+20</v>
      </c>
      <c r="U9" s="5">
        <v>0</v>
      </c>
      <c r="V9" s="5">
        <v>0.28132524928114999</v>
      </c>
      <c r="W9" s="5">
        <v>0.28132524928114999</v>
      </c>
      <c r="X9" s="5">
        <v>0</v>
      </c>
      <c r="Y9" s="5">
        <v>1</v>
      </c>
      <c r="AL9" t="s">
        <v>99</v>
      </c>
      <c r="AM9" t="s">
        <v>93</v>
      </c>
      <c r="AN9" t="s">
        <v>84</v>
      </c>
      <c r="AO9" s="5">
        <v>0.28132524928114999</v>
      </c>
      <c r="AP9" s="5">
        <v>4E+20</v>
      </c>
      <c r="AQ9" s="5">
        <v>0</v>
      </c>
      <c r="AR9" s="5">
        <v>0.28132524928114999</v>
      </c>
      <c r="AS9" s="5">
        <v>0.28132524928114999</v>
      </c>
    </row>
    <row r="10" spans="1:52" x14ac:dyDescent="0.3">
      <c r="B10" t="s">
        <v>81</v>
      </c>
      <c r="C10" t="s">
        <v>71</v>
      </c>
      <c r="D10" t="s">
        <v>72</v>
      </c>
      <c r="E10" s="5">
        <v>0.43941328934385698</v>
      </c>
      <c r="F10" s="5">
        <v>1</v>
      </c>
      <c r="G10" s="5">
        <v>2E+20</v>
      </c>
      <c r="H10" s="5">
        <v>0</v>
      </c>
      <c r="I10" s="5">
        <v>0.43941328934385698</v>
      </c>
      <c r="J10" s="5">
        <v>0.43941328934385698</v>
      </c>
      <c r="K10" s="5">
        <v>0</v>
      </c>
      <c r="L10" s="5">
        <v>3.5153063147508599</v>
      </c>
      <c r="M10" s="5">
        <v>8</v>
      </c>
      <c r="Q10" t="s">
        <v>86</v>
      </c>
      <c r="R10" t="s">
        <v>84</v>
      </c>
      <c r="S10" s="5">
        <v>1</v>
      </c>
      <c r="T10" s="5">
        <v>2E+20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</row>
    <row r="11" spans="1:52" x14ac:dyDescent="0.3">
      <c r="P11" t="s">
        <v>81</v>
      </c>
      <c r="Q11" t="s">
        <v>87</v>
      </c>
      <c r="R11" t="s">
        <v>72</v>
      </c>
      <c r="S11" s="5">
        <v>7.32355482239762E-3</v>
      </c>
      <c r="T11" s="5">
        <v>2E+20</v>
      </c>
      <c r="U11" s="5">
        <v>0</v>
      </c>
      <c r="V11" s="5">
        <v>7.32355482239762E-3</v>
      </c>
      <c r="W11" s="5">
        <v>7.32355482239762E-3</v>
      </c>
      <c r="X11" s="5">
        <v>0</v>
      </c>
      <c r="Y11" s="5">
        <v>1</v>
      </c>
    </row>
  </sheetData>
  <dataConsolidate/>
  <conditionalFormatting pivot="1" sqref="G3:G10">
    <cfRule type="expression" dxfId="31" priority="14">
      <formula>G3=200000000000000000000</formula>
    </cfRule>
  </conditionalFormatting>
  <conditionalFormatting pivot="1" sqref="T3:T11">
    <cfRule type="expression" dxfId="30" priority="13">
      <formula>T3=200000000000000000000</formula>
    </cfRule>
  </conditionalFormatting>
  <conditionalFormatting pivot="1" sqref="T3:T11">
    <cfRule type="expression" dxfId="29" priority="12">
      <formula>T3=300000000000000000000</formula>
    </cfRule>
  </conditionalFormatting>
  <conditionalFormatting pivot="1" sqref="G3:G10">
    <cfRule type="expression" dxfId="28" priority="11">
      <formula>G3=300000000000000000000</formula>
    </cfRule>
  </conditionalFormatting>
  <conditionalFormatting pivot="1" sqref="F3:F10">
    <cfRule type="expression" dxfId="27" priority="10">
      <formula>F3=0</formula>
    </cfRule>
  </conditionalFormatting>
  <conditionalFormatting pivot="1" sqref="F3:F10">
    <cfRule type="expression" dxfId="26" priority="9">
      <formula>F3=1</formula>
    </cfRule>
  </conditionalFormatting>
  <conditionalFormatting pivot="1" sqref="T3:T11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0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0.2187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51.21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1.4601679313220901</v>
      </c>
      <c r="H2">
        <v>2E+20</v>
      </c>
      <c r="I2">
        <v>0</v>
      </c>
      <c r="J2">
        <v>12.572207479630199</v>
      </c>
      <c r="K2">
        <v>48</v>
      </c>
      <c r="L2" t="str">
        <f>DiscreteStatsTable[[#This Row],[ProjectName]]&amp;DiscreteStatsTable[[#This Row],[Name]]&amp;DiscreteStatsTable[[#This Row],[Type]]&amp;DiscreteStatsTable[[#This Row],[Source]]</f>
        <v>Unnamed ProjectCorte de Cabelo.QueueWaiting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1.4601679313220901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1.4601679313220901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1.4601679313220901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12.572207479630199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48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73</v>
      </c>
      <c r="E3" t="s">
        <v>74</v>
      </c>
      <c r="F3" t="s">
        <v>75</v>
      </c>
      <c r="G3">
        <v>0</v>
      </c>
      <c r="H3">
        <v>2E+20</v>
      </c>
      <c r="I3">
        <v>0</v>
      </c>
      <c r="J3">
        <v>0</v>
      </c>
      <c r="K3">
        <v>45</v>
      </c>
      <c r="L3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45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73</v>
      </c>
      <c r="E4" t="s">
        <v>76</v>
      </c>
      <c r="F4" t="s">
        <v>75</v>
      </c>
      <c r="G4">
        <v>0</v>
      </c>
      <c r="H4">
        <v>2E+20</v>
      </c>
      <c r="I4">
        <v>0</v>
      </c>
      <c r="J4">
        <v>0</v>
      </c>
      <c r="K4">
        <v>45</v>
      </c>
      <c r="L4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45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73</v>
      </c>
      <c r="E5" t="s">
        <v>77</v>
      </c>
      <c r="F5" t="s">
        <v>75</v>
      </c>
      <c r="G5">
        <v>24.490800226416901</v>
      </c>
      <c r="H5">
        <v>2E+20</v>
      </c>
      <c r="I5">
        <v>15.7103867856466</v>
      </c>
      <c r="J5">
        <v>50.3054145174345</v>
      </c>
      <c r="K5">
        <v>45</v>
      </c>
      <c r="L5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24.490800226416901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24.490800226416901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24.490800226416901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15.7103867856466</v>
      </c>
      <c r="U5" cm="1">
        <f t="array" ref="U5">MAX(IF((DiscreteStatsTable[GroupByKey]=DiscreteStatsTable[[#This Row],[GroupByKey]]),(DiscreteStatsTable[GroupByKey]=DiscreteStatsTable[[#This Row],[GroupByKey]])*DiscreteStatsTable[Maximum]))</f>
        <v>50.3054145174345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45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73</v>
      </c>
      <c r="E6" t="s">
        <v>78</v>
      </c>
      <c r="F6" t="s">
        <v>75</v>
      </c>
      <c r="G6">
        <v>0</v>
      </c>
      <c r="H6">
        <v>2E+20</v>
      </c>
      <c r="I6">
        <v>0</v>
      </c>
      <c r="J6">
        <v>0</v>
      </c>
      <c r="K6">
        <v>45</v>
      </c>
      <c r="L6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45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73</v>
      </c>
      <c r="E7" t="s">
        <v>79</v>
      </c>
      <c r="F7" t="s">
        <v>75</v>
      </c>
      <c r="G7">
        <v>23.065257567142901</v>
      </c>
      <c r="H7">
        <v>2E+20</v>
      </c>
      <c r="I7">
        <v>15.393459609817899</v>
      </c>
      <c r="J7">
        <v>42.402619999562802</v>
      </c>
      <c r="K7">
        <v>45</v>
      </c>
      <c r="L7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23.065257567142901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23.065257567142901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23.065257567142901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15.393459609817899</v>
      </c>
      <c r="U7" cm="1">
        <f t="array" ref="U7">MAX(IF((DiscreteStatsTable[GroupByKey]=DiscreteStatsTable[[#This Row],[GroupByKey]]),(DiscreteStatsTable[GroupByKey]=DiscreteStatsTable[[#This Row],[GroupByKey]])*DiscreteStatsTable[Maximum]))</f>
        <v>42.402619999562802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45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73</v>
      </c>
      <c r="E8" t="s">
        <v>80</v>
      </c>
      <c r="F8" t="s">
        <v>75</v>
      </c>
      <c r="G8">
        <v>1.4255426592739999</v>
      </c>
      <c r="H8">
        <v>2E+20</v>
      </c>
      <c r="I8">
        <v>0</v>
      </c>
      <c r="J8">
        <v>12.572207479630199</v>
      </c>
      <c r="K8">
        <v>45</v>
      </c>
      <c r="L8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1.4255426592739999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1.4255426592739999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1.4255426592739999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12.572207479630199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45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1</v>
      </c>
      <c r="D9" t="s">
        <v>81</v>
      </c>
      <c r="E9" t="s">
        <v>71</v>
      </c>
      <c r="F9" t="s">
        <v>72</v>
      </c>
      <c r="G9">
        <v>0.43941328934385698</v>
      </c>
      <c r="H9">
        <v>2E+20</v>
      </c>
      <c r="I9">
        <v>0</v>
      </c>
      <c r="J9">
        <v>3.5153063147508599</v>
      </c>
      <c r="K9">
        <v>8</v>
      </c>
      <c r="L9" t="str">
        <f>DiscreteStatsTable[[#This Row],[ProjectName]]&amp;DiscreteStatsTable[[#This Row],[Name]]&amp;DiscreteStatsTable[[#This Row],[Type]]&amp;DiscreteStatsTable[[#This Row],[Source]]</f>
        <v>Unnamed ProjectServiço de Unha.QueueWaiting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0.43941328934385698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0.43941328934385698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0.43941328934385698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3.5153063147508599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</sheetData>
  <phoneticPr fontId="2" type="noConversion"/>
  <conditionalFormatting sqref="H2:H9 Q2:Q9">
    <cfRule type="expression" dxfId="20" priority="23">
      <formula>H2=200000000000000000000</formula>
    </cfRule>
  </conditionalFormatting>
  <conditionalFormatting sqref="H2:H9">
    <cfRule type="expression" dxfId="19" priority="21">
      <formula>H2=300000000000000000000</formula>
    </cfRule>
  </conditionalFormatting>
  <conditionalFormatting sqref="L2:Y9">
    <cfRule type="expression" dxfId="18" priority="19">
      <formula>MOD(ROW(),2)=0</formula>
    </cfRule>
  </conditionalFormatting>
  <conditionalFormatting sqref="Y2:Y9">
    <cfRule type="expression" dxfId="17" priority="14">
      <formula>Y2=0</formula>
    </cfRule>
    <cfRule type="expression" dxfId="16" priority="16">
      <formula>Y2=1</formula>
    </cfRule>
  </conditionalFormatting>
  <conditionalFormatting sqref="Y3:Y9">
    <cfRule type="expression" dxfId="15" priority="15">
      <formula>Y3=1</formula>
    </cfRule>
  </conditionalFormatting>
  <conditionalFormatting sqref="W2:W9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9 W2:W9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0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0.2187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59.1093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82</v>
      </c>
      <c r="E2" t="s">
        <v>83</v>
      </c>
      <c r="F2" t="s">
        <v>84</v>
      </c>
      <c r="G2">
        <v>0.65537390787254401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ProjectBarbeiroInstantaneous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0.65537390787254401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0.65537390787254401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0.65537390787254401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69</v>
      </c>
      <c r="C3">
        <v>1</v>
      </c>
      <c r="D3" t="s">
        <v>82</v>
      </c>
      <c r="E3" t="s">
        <v>85</v>
      </c>
      <c r="F3" t="s">
        <v>84</v>
      </c>
      <c r="G3">
        <v>1.96612172361763</v>
      </c>
      <c r="H3">
        <v>2E+20</v>
      </c>
      <c r="I3">
        <v>0</v>
      </c>
      <c r="J3">
        <v>3</v>
      </c>
      <c r="K3">
        <v>3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ProjectBarbeiroNumber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1.96612172361763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1.96612172361763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1.96612172361763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69</v>
      </c>
      <c r="C4">
        <v>1</v>
      </c>
      <c r="D4" t="s">
        <v>82</v>
      </c>
      <c r="E4" t="s">
        <v>86</v>
      </c>
      <c r="F4" t="s">
        <v>84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ProjectBarbeiroNumber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69</v>
      </c>
      <c r="C5">
        <v>1</v>
      </c>
      <c r="D5" t="s">
        <v>70</v>
      </c>
      <c r="E5" t="s">
        <v>87</v>
      </c>
      <c r="F5" t="s">
        <v>72</v>
      </c>
      <c r="G5">
        <v>0.158298606231497</v>
      </c>
      <c r="H5">
        <v>2E+20</v>
      </c>
      <c r="I5">
        <v>0</v>
      </c>
      <c r="J5">
        <v>2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ProjectCorte de Cabelo.QueueNumber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0.158298606231497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0.158298606231497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0.158298606231497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69</v>
      </c>
      <c r="C6">
        <v>1</v>
      </c>
      <c r="D6" t="s">
        <v>73</v>
      </c>
      <c r="E6" t="s">
        <v>88</v>
      </c>
      <c r="F6" t="s">
        <v>75</v>
      </c>
      <c r="G6">
        <v>2.4297358006193401</v>
      </c>
      <c r="H6">
        <v>2E+20</v>
      </c>
      <c r="I6">
        <v>0</v>
      </c>
      <c r="J6">
        <v>6</v>
      </c>
      <c r="K6">
        <v>4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2.4297358006193401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2.4297358006193401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2.4297358006193401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69</v>
      </c>
      <c r="C7">
        <v>1</v>
      </c>
      <c r="D7" t="s">
        <v>89</v>
      </c>
      <c r="E7" t="s">
        <v>83</v>
      </c>
      <c r="F7" t="s">
        <v>84</v>
      </c>
      <c r="G7">
        <v>0.28132524928114999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ProjectProfissional_UnhaInstantaneous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0.28132524928114999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0.28132524928114999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0.28132524928114999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69</v>
      </c>
      <c r="C8">
        <v>1</v>
      </c>
      <c r="D8" t="s">
        <v>89</v>
      </c>
      <c r="E8" t="s">
        <v>85</v>
      </c>
      <c r="F8" t="s">
        <v>84</v>
      </c>
      <c r="G8">
        <v>0.28132524928114999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ProjectProfissional_UnhaNumber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0.28132524928114999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0.28132524928114999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0.28132524928114999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66</v>
      </c>
      <c r="B9" t="s">
        <v>69</v>
      </c>
      <c r="C9">
        <v>1</v>
      </c>
      <c r="D9" t="s">
        <v>89</v>
      </c>
      <c r="E9" t="s">
        <v>86</v>
      </c>
      <c r="F9" t="s">
        <v>84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ProjectProfissional_UnhaNumber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">
      <c r="A10" t="s">
        <v>66</v>
      </c>
      <c r="B10" t="s">
        <v>69</v>
      </c>
      <c r="C10">
        <v>1</v>
      </c>
      <c r="D10" t="s">
        <v>81</v>
      </c>
      <c r="E10" t="s">
        <v>87</v>
      </c>
      <c r="F10" t="s">
        <v>72</v>
      </c>
      <c r="G10">
        <v>7.32355482239762E-3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ProjectServiço de Unha.QueueNumber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7.32355482239762E-3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7.32355482239762E-3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7.32355482239762E-3</v>
      </c>
      <c r="U10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0">
    <cfRule type="expression" dxfId="11" priority="9">
      <formula>H2=200000000000000000000</formula>
    </cfRule>
  </conditionalFormatting>
  <conditionalFormatting sqref="H2:H10">
    <cfRule type="expression" dxfId="10" priority="7">
      <formula>H2=300000000000000000000</formula>
    </cfRule>
  </conditionalFormatting>
  <conditionalFormatting sqref="M2:U10">
    <cfRule type="expression" dxfId="9" priority="5">
      <formula>MOD(ROW(),2)=0</formula>
    </cfRule>
  </conditionalFormatting>
  <conditionalFormatting sqref="U2:U10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0 U2:U10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3.441406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73.218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90</v>
      </c>
      <c r="E2" t="s">
        <v>91</v>
      </c>
      <c r="F2" t="s">
        <v>84</v>
      </c>
      <c r="G2">
        <v>48</v>
      </c>
      <c r="H2">
        <v>0</v>
      </c>
      <c r="I2" t="str">
        <f>OutputTable[[#This Row],[ProjectName]]&amp;OutputTable[[#This Row],[Name]]&amp;OutputTable[[#This Row],[Type]]&amp;OutputTable[[#This Row],[Source]]</f>
        <v>Unnamed ProjectBarbeiro.NumberSeizedTotal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48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48</v>
      </c>
      <c r="P2" cm="1">
        <f t="array" ref="P2">MAX(IF((OutputTable[GroupByKey]=OutputTable[[#This Row],[GroupByKey]]),(OutputTable[GroupByKey]=OutputTable[[#This Row],[GroupByKey]])*OutputTable[RecordedValue]))</f>
        <v>48</v>
      </c>
    </row>
    <row r="3" spans="1:16" x14ac:dyDescent="0.3">
      <c r="A3" t="s">
        <v>66</v>
      </c>
      <c r="B3" t="s">
        <v>69</v>
      </c>
      <c r="C3">
        <v>1</v>
      </c>
      <c r="D3" t="s">
        <v>92</v>
      </c>
      <c r="E3" t="s">
        <v>93</v>
      </c>
      <c r="F3" t="s">
        <v>84</v>
      </c>
      <c r="G3">
        <v>0.65537390787254401</v>
      </c>
      <c r="H3">
        <v>0</v>
      </c>
      <c r="I3" t="str">
        <f>OutputTable[[#This Row],[ProjectName]]&amp;OutputTable[[#This Row],[Name]]&amp;OutputTable[[#This Row],[Type]]&amp;OutputTable[[#This Row],[Source]]</f>
        <v>Unnamed ProjectBarbeiro.ScheduledUtilizationScheduled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0.65537390787254401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0.65537390787254401</v>
      </c>
      <c r="P3" cm="1">
        <f t="array" ref="P3">MAX(IF((OutputTable[GroupByKey]=OutputTable[[#This Row],[GroupByKey]]),(OutputTable[GroupByKey]=OutputTable[[#This Row],[GroupByKey]])*OutputTable[RecordedValue]))</f>
        <v>0.65537390787254401</v>
      </c>
    </row>
    <row r="4" spans="1:16" x14ac:dyDescent="0.3">
      <c r="A4" t="s">
        <v>66</v>
      </c>
      <c r="B4" t="s">
        <v>69</v>
      </c>
      <c r="C4">
        <v>1</v>
      </c>
      <c r="D4" t="s">
        <v>94</v>
      </c>
      <c r="E4" t="s">
        <v>95</v>
      </c>
      <c r="F4" t="s">
        <v>75</v>
      </c>
      <c r="G4">
        <v>49</v>
      </c>
      <c r="H4">
        <v>0</v>
      </c>
      <c r="I4" t="str">
        <f>OutputTable[[#This Row],[ProjectName]]&amp;OutputTable[[#This Row],[Name]]&amp;OutputTable[[#This Row],[Type]]&amp;OutputTable[[#This Row],[Source]]</f>
        <v>Unnamed ProjectEntity 1.NumberInNumber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49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49</v>
      </c>
      <c r="P4" cm="1">
        <f t="array" ref="P4">MAX(IF((OutputTable[GroupByKey]=OutputTable[[#This Row],[GroupByKey]]),(OutputTable[GroupByKey]=OutputTable[[#This Row],[GroupByKey]])*OutputTable[RecordedValue]))</f>
        <v>49</v>
      </c>
    </row>
    <row r="5" spans="1:16" x14ac:dyDescent="0.3">
      <c r="A5" t="s">
        <v>66</v>
      </c>
      <c r="B5" t="s">
        <v>69</v>
      </c>
      <c r="C5">
        <v>1</v>
      </c>
      <c r="D5" t="s">
        <v>96</v>
      </c>
      <c r="E5" t="s">
        <v>97</v>
      </c>
      <c r="F5" t="s">
        <v>75</v>
      </c>
      <c r="G5">
        <v>45</v>
      </c>
      <c r="H5">
        <v>0</v>
      </c>
      <c r="I5" t="str">
        <f>OutputTable[[#This Row],[ProjectName]]&amp;OutputTable[[#This Row],[Name]]&amp;OutputTable[[#This Row],[Type]]&amp;OutputTable[[#This Row],[Source]]</f>
        <v>Unnamed ProjectEntity 1.NumberOutNumber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45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45</v>
      </c>
      <c r="P5" cm="1">
        <f t="array" ref="P5">MAX(IF((OutputTable[GroupByKey]=OutputTable[[#This Row],[GroupByKey]]),(OutputTable[GroupByKey]=OutputTable[[#This Row],[GroupByKey]])*OutputTable[RecordedValue]))</f>
        <v>45</v>
      </c>
    </row>
    <row r="6" spans="1:16" x14ac:dyDescent="0.3">
      <c r="A6" t="s">
        <v>66</v>
      </c>
      <c r="B6" t="s">
        <v>69</v>
      </c>
      <c r="C6">
        <v>1</v>
      </c>
      <c r="D6" t="s">
        <v>98</v>
      </c>
      <c r="E6" t="s">
        <v>91</v>
      </c>
      <c r="F6" t="s">
        <v>84</v>
      </c>
      <c r="G6">
        <v>8</v>
      </c>
      <c r="H6">
        <v>0</v>
      </c>
      <c r="I6" t="str">
        <f>OutputTable[[#This Row],[ProjectName]]&amp;OutputTable[[#This Row],[Name]]&amp;OutputTable[[#This Row],[Type]]&amp;OutputTable[[#This Row],[Source]]</f>
        <v>Unnamed ProjectProfissional_Unha.NumberSeizedTotal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8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8</v>
      </c>
      <c r="P6" cm="1">
        <f t="array" ref="P6">MAX(IF((OutputTable[GroupByKey]=OutputTable[[#This Row],[GroupByKey]]),(OutputTable[GroupByKey]=OutputTable[[#This Row],[GroupByKey]])*OutputTable[RecordedValue]))</f>
        <v>8</v>
      </c>
    </row>
    <row r="7" spans="1:16" x14ac:dyDescent="0.3">
      <c r="A7" t="s">
        <v>66</v>
      </c>
      <c r="B7" t="s">
        <v>69</v>
      </c>
      <c r="C7">
        <v>1</v>
      </c>
      <c r="D7" t="s">
        <v>99</v>
      </c>
      <c r="E7" t="s">
        <v>93</v>
      </c>
      <c r="F7" t="s">
        <v>84</v>
      </c>
      <c r="G7">
        <v>0.28132524928114999</v>
      </c>
      <c r="H7">
        <v>0</v>
      </c>
      <c r="I7" t="str">
        <f>OutputTable[[#This Row],[ProjectName]]&amp;OutputTable[[#This Row],[Name]]&amp;OutputTable[[#This Row],[Type]]&amp;OutputTable[[#This Row],[Source]]</f>
        <v>Unnamed ProjectProfissional_Unha.ScheduledUtilizationScheduled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0.28132524928114999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0.28132524928114999</v>
      </c>
      <c r="P7" cm="1">
        <f t="array" ref="P7">MAX(IF((OutputTable[GroupByKey]=OutputTable[[#This Row],[GroupByKey]]),(OutputTable[GroupByKey]=OutputTable[[#This Row],[GroupByKey]])*OutputTable[RecordedValue]))</f>
        <v>0.28132524928114999</v>
      </c>
    </row>
    <row r="8" spans="1:16" x14ac:dyDescent="0.3">
      <c r="A8" t="s">
        <v>66</v>
      </c>
      <c r="B8" t="s">
        <v>69</v>
      </c>
      <c r="C8">
        <v>1</v>
      </c>
      <c r="D8" t="s">
        <v>100</v>
      </c>
      <c r="E8" t="s">
        <v>97</v>
      </c>
      <c r="F8" t="s">
        <v>101</v>
      </c>
      <c r="G8">
        <v>45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45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45</v>
      </c>
      <c r="P8" cm="1">
        <f t="array" ref="P8">MAX(IF((OutputTable[GroupByKey]=OutputTable[[#This Row],[GroupByKey]]),(OutputTable[GroupByKey]=OutputTable[[#This Row],[GroupByKey]])*OutputTable[RecordedValue]))</f>
        <v>45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Sandro Junior</cp:lastModifiedBy>
  <cp:lastPrinted>2022-03-22T10:33:10Z</cp:lastPrinted>
  <dcterms:created xsi:type="dcterms:W3CDTF">2020-06-29T21:30:31Z</dcterms:created>
  <dcterms:modified xsi:type="dcterms:W3CDTF">2025-07-04T00:24:59Z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